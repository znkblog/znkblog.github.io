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zinnykko\Desktop\"/>
    </mc:Choice>
  </mc:AlternateContent>
  <xr:revisionPtr revIDLastSave="0" documentId="13_ncr:1_{8085C6A2-F165-4C9D-A776-685DB0BA9988}" xr6:coauthVersionLast="47" xr6:coauthVersionMax="47" xr10:uidLastSave="{00000000-0000-0000-0000-000000000000}"/>
  <bookViews>
    <workbookView xWindow="-108" yWindow="-108" windowWidth="23256" windowHeight="13896" xr2:uid="{2509BDAE-C3E3-457B-8A65-7A45631D2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M4" i="1"/>
  <c r="J9" i="1"/>
  <c r="D9" i="1"/>
  <c r="E9" i="1"/>
  <c r="F9" i="1"/>
  <c r="G9" i="1"/>
  <c r="H9" i="1"/>
  <c r="I9" i="1"/>
  <c r="L8" i="1"/>
  <c r="L7" i="1"/>
  <c r="M7" i="1"/>
  <c r="L6" i="1"/>
  <c r="L5" i="1"/>
  <c r="M5" i="1"/>
  <c r="L4" i="1"/>
  <c r="K9" i="1" l="1"/>
  <c r="M8" i="1"/>
  <c r="L9" i="1"/>
  <c r="M6" i="1"/>
  <c r="M9" i="1" l="1"/>
</calcChain>
</file>

<file path=xl/sharedStrings.xml><?xml version="1.0" encoding="utf-8"?>
<sst xmlns="http://schemas.openxmlformats.org/spreadsheetml/2006/main" count="25" uniqueCount="24">
  <si>
    <t>거래처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</si>
  <si>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</si>
  <si>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</si>
  <si>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</si>
  <si>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</si>
  <si>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</si>
  <si>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매출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</si>
  <si>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</si>
  <si>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</si>
  <si>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</si>
  <si>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</si>
  <si>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</si>
  <si>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</si>
  <si>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월말채권</t>
    <phoneticPr fontId="1" type="noConversion"/>
  </si>
  <si>
    <t>합계</t>
    <phoneticPr fontId="1" type="noConversion"/>
  </si>
  <si>
    <t>회전일</t>
    <phoneticPr fontId="1" type="noConversion"/>
  </si>
  <si>
    <t>역산</t>
    <phoneticPr fontId="1" type="noConversion"/>
  </si>
  <si>
    <t>평균</t>
    <phoneticPr fontId="1" type="noConversion"/>
  </si>
  <si>
    <t>차이</t>
    <phoneticPr fontId="1" type="noConversion"/>
  </si>
  <si>
    <t>꾸준한거래</t>
    <phoneticPr fontId="1" type="noConversion"/>
  </si>
  <si>
    <t>중간거래시작</t>
    <phoneticPr fontId="1" type="noConversion"/>
  </si>
  <si>
    <t>중간일시적대량매출</t>
    <phoneticPr fontId="1" type="noConversion"/>
  </si>
  <si>
    <t>회수없이거래중단</t>
    <phoneticPr fontId="1" type="noConversion"/>
  </si>
  <si>
    <t>말월일시적대량매출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</si>
</sst>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;[Red]\-#,##0\ "/>
    <numFmt numFmtId="177" formatCode="#,##0_ ;[Red]\-#,##0_ ;&quot;-&quot;_ ;@"/>
    <numFmt numFmtId="178" formatCode="#,##0.0_ ;[Red]\-#,##0.0_ ;&quot;-&quot;_ 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Continuous" vertical="center"/>
    </xf>
    <xf numFmtId="177" fontId="0" fillId="0" borderId="14" xfId="0" applyNumberFormat="1" applyBorder="1" applyAlignment="1">
      <alignment horizontal="centerContinuous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Continuous" vertical="center"/>
    </xf>
    <xf numFmtId="177" fontId="0" fillId="2" borderId="3" xfId="0" applyNumberFormat="1" applyFill="1" applyBorder="1" applyAlignment="1">
      <alignment horizontal="centerContinuous" vertical="center"/>
    </xf>
    <xf numFmtId="176" fontId="0" fillId="2" borderId="2" xfId="0" applyNumberFormat="1" applyFill="1" applyBorder="1" applyAlignment="1">
      <alignment horizontal="centerContinuous" vertical="center"/>
    </xf>
    <xf numFmtId="176" fontId="0" fillId="2" borderId="6" xfId="0" applyNumberFormat="1" applyFill="1" applyBorder="1" applyAlignment="1">
      <alignment horizontal="centerContinuous" vertical="center"/>
    </xf>
    <xf numFmtId="176" fontId="0" fillId="2" borderId="10" xfId="0" applyNumberFormat="1" applyFill="1" applyBorder="1" applyAlignment="1">
      <alignment horizontal="centerContinuous" vertical="center"/>
    </xf>
    <xf numFmtId="176" fontId="0" fillId="2" borderId="3" xfId="0" applyNumberFormat="1" applyFill="1" applyBorder="1" applyAlignment="1">
      <alignment horizontal="centerContinuous" vertical="center"/>
    </xf>
    <xf numFmtId="177" fontId="0" fillId="2" borderId="4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Continuous" vertical="center"/>
    </xf>
    <xf numFmtId="177" fontId="0" fillId="2" borderId="7" xfId="0" applyNumberFormat="1" applyFill="1" applyBorder="1" applyAlignment="1">
      <alignment horizontal="centerContinuous" vertical="center"/>
    </xf>
    <xf numFmtId="177" fontId="0" fillId="2" borderId="11" xfId="0" applyNumberFormat="1" applyFill="1" applyBorder="1" applyAlignment="1">
      <alignment horizontal="centerContinuous" vertical="center"/>
    </xf>
    <xf numFmtId="177" fontId="0" fillId="2" borderId="5" xfId="0" applyNumberForma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1A44-879E-4A0A-985D-4161201A2435}">
  <dimension ref="B2:M9"/>
  <sheetViews>
    <sheetView showGridLines="0" tabSelected="1" workbookViewId="0">
      <selection activeCell="F11" sqref="F11"/>
    </sheetView>
  </sheetViews>
  <sheetFormatPr defaultRowHeight="17.399999999999999" x14ac:dyDescent="0.4"/>
  <cols>
    <col min="1" max="2" width="8.796875" style="1"/>
    <col min="3" max="3" width="17.796875" style="1" customWidth="1"/>
    <col min="4" max="16384" width="8.796875" style="1"/>
  </cols>
  <sheetData>
    <row r="2" spans="2:13" x14ac:dyDescent="0.4">
      <c r="B2" s="24" t="s">
        <v>0</v>
      </c>
      <c r="C2" s="25"/>
      <c r="D2" s="26" t="s">
        <v>6</v>
      </c>
      <c r="E2" s="27"/>
      <c r="F2" s="27"/>
      <c r="G2" s="27"/>
      <c r="H2" s="27"/>
      <c r="I2" s="27"/>
      <c r="J2" s="28" t="s">
        <v>13</v>
      </c>
      <c r="K2" s="26" t="s">
        <v>15</v>
      </c>
      <c r="L2" s="27"/>
      <c r="M2" s="29"/>
    </row>
    <row r="3" spans="2:13" x14ac:dyDescent="0.4">
      <c r="B3" s="30"/>
      <c r="C3" s="31"/>
      <c r="D3" s="32" t="s">
        <v>10</v>
      </c>
      <c r="E3" s="33" t="s">
        <v>11</v>
      </c>
      <c r="F3" s="33" t="s">
        <v>12</v>
      </c>
      <c r="G3" s="33" t="s">
        <v>7</v>
      </c>
      <c r="H3" s="33" t="s">
        <v>8</v>
      </c>
      <c r="I3" s="33" t="s">
        <v>9</v>
      </c>
      <c r="J3" s="34" t="s">
        <v>9</v>
      </c>
      <c r="K3" s="32" t="s">
        <v>16</v>
      </c>
      <c r="L3" s="33" t="s">
        <v>17</v>
      </c>
      <c r="M3" s="35" t="s">
        <v>18</v>
      </c>
    </row>
    <row r="4" spans="2:13" x14ac:dyDescent="0.4">
      <c r="B4" s="3" t="s">
        <v>1</v>
      </c>
      <c r="C4" s="2" t="s">
        <v>19</v>
      </c>
      <c r="D4" s="3">
        <v>200</v>
      </c>
      <c r="E4" s="6">
        <v>210</v>
      </c>
      <c r="F4" s="6">
        <v>210</v>
      </c>
      <c r="G4" s="6">
        <v>180</v>
      </c>
      <c r="H4" s="6">
        <v>190</v>
      </c>
      <c r="I4" s="6">
        <v>200</v>
      </c>
      <c r="J4" s="14">
        <v>220</v>
      </c>
      <c r="K4" s="12">
        <f t="shared" ref="K4:K9" si="0">IF(J4&lt;=0, 0,
  IF(J4&lt;=I4,                        30*J4/I4,
  IF((J4-I4)&lt;=H4,                  30*(J4-I4)/H4 + 30,
  IF((J4-I4-H4)&lt;=G4,              30*(J4-I4-H4)/G4 + 30+30,
  IF((J4-I4-H4-G4)&lt;=F4,          30*(J4-I4-H4-G4)/F4 + 30+30+30,
  IF((J4-I4-H4-G4-F4)&lt;=E4,      30*(J4-I4-H4-G4-F4)/E4 + 30+30+30+30,
  IF((J4-I4-H4-G4-F4-E4)&lt;=D4, 30*(J4-I4-H4-G4-F4-E4)/D4 + 30+30+30+30+30,
  "180초과")))))))</f>
        <v>33.157894736842103</v>
      </c>
      <c r="L4" s="7">
        <f xml:space="preserve"> 180 * J4/SUM(D4:I4)</f>
        <v>33.27731092436975</v>
      </c>
      <c r="M4" s="8">
        <f>K4-L4</f>
        <v>-0.11941618752764782</v>
      </c>
    </row>
    <row r="5" spans="2:13" x14ac:dyDescent="0.4">
      <c r="B5" s="4" t="s">
        <v>2</v>
      </c>
      <c r="C5" s="5" t="s">
        <v>20</v>
      </c>
      <c r="D5" s="4">
        <v>0</v>
      </c>
      <c r="E5" s="9">
        <v>0</v>
      </c>
      <c r="F5" s="9">
        <v>0</v>
      </c>
      <c r="G5" s="9">
        <v>800</v>
      </c>
      <c r="H5" s="9">
        <v>750</v>
      </c>
      <c r="I5" s="9">
        <v>900</v>
      </c>
      <c r="J5" s="15">
        <v>500</v>
      </c>
      <c r="K5" s="13">
        <f t="shared" si="0"/>
        <v>16.666666666666668</v>
      </c>
      <c r="L5" s="10">
        <f xml:space="preserve"> 180 * J5/SUM(D5:I5)</f>
        <v>36.734693877551024</v>
      </c>
      <c r="M5" s="11">
        <f>K5-L5</f>
        <v>-20.068027210884356</v>
      </c>
    </row>
    <row r="6" spans="2:13" x14ac:dyDescent="0.4">
      <c r="B6" s="4" t="s">
        <v>3</v>
      </c>
      <c r="C6" s="5" t="s">
        <v>22</v>
      </c>
      <c r="D6" s="4">
        <v>680</v>
      </c>
      <c r="E6" s="9">
        <v>700</v>
      </c>
      <c r="F6" s="9">
        <v>590</v>
      </c>
      <c r="G6" s="9">
        <v>600</v>
      </c>
      <c r="H6" s="9">
        <v>0</v>
      </c>
      <c r="I6" s="9">
        <v>0</v>
      </c>
      <c r="J6" s="15">
        <v>800</v>
      </c>
      <c r="K6" s="13">
        <f t="shared" si="0"/>
        <v>100.16949152542372</v>
      </c>
      <c r="L6" s="10">
        <f xml:space="preserve"> 180 * J6/SUM(D6:I6)</f>
        <v>56.031128404669261</v>
      </c>
      <c r="M6" s="11">
        <f>K6-L6</f>
        <v>44.138363120754462</v>
      </c>
    </row>
    <row r="7" spans="2:13" x14ac:dyDescent="0.4">
      <c r="B7" s="4" t="s">
        <v>4</v>
      </c>
      <c r="C7" s="5" t="s">
        <v>21</v>
      </c>
      <c r="D7" s="4">
        <v>120</v>
      </c>
      <c r="E7" s="9">
        <v>150</v>
      </c>
      <c r="F7" s="9">
        <v>1200</v>
      </c>
      <c r="G7" s="9">
        <v>800</v>
      </c>
      <c r="H7" s="9">
        <v>200</v>
      </c>
      <c r="I7" s="9">
        <v>130</v>
      </c>
      <c r="J7" s="15">
        <v>130</v>
      </c>
      <c r="K7" s="13">
        <f t="shared" si="0"/>
        <v>30</v>
      </c>
      <c r="L7" s="10">
        <f xml:space="preserve"> 180 * J7/SUM(D7:I7)</f>
        <v>9</v>
      </c>
      <c r="M7" s="11">
        <f>K7-L7</f>
        <v>21</v>
      </c>
    </row>
    <row r="8" spans="2:13" x14ac:dyDescent="0.4">
      <c r="B8" s="4" t="s">
        <v>5</v>
      </c>
      <c r="C8" s="5" t="s">
        <v>23</v>
      </c>
      <c r="D8" s="4">
        <v>230</v>
      </c>
      <c r="E8" s="9">
        <v>240</v>
      </c>
      <c r="F8" s="9">
        <v>220</v>
      </c>
      <c r="G8" s="9">
        <v>230</v>
      </c>
      <c r="H8" s="9">
        <v>250</v>
      </c>
      <c r="I8" s="9">
        <v>550</v>
      </c>
      <c r="J8" s="15">
        <v>650</v>
      </c>
      <c r="K8" s="13">
        <f t="shared" si="0"/>
        <v>42</v>
      </c>
      <c r="L8" s="10">
        <f xml:space="preserve"> 180 * J8/SUM(D8:I8)</f>
        <v>68.023255813953483</v>
      </c>
      <c r="M8" s="11">
        <f>K8-L8</f>
        <v>-26.023255813953483</v>
      </c>
    </row>
    <row r="9" spans="2:13" x14ac:dyDescent="0.4">
      <c r="B9" s="16" t="s">
        <v>14</v>
      </c>
      <c r="C9" s="17"/>
      <c r="D9" s="18">
        <f t="shared" ref="D9:J9" si="1">SUM(D4:D8)</f>
        <v>1230</v>
      </c>
      <c r="E9" s="19">
        <f t="shared" si="1"/>
        <v>1300</v>
      </c>
      <c r="F9" s="19">
        <f t="shared" si="1"/>
        <v>2220</v>
      </c>
      <c r="G9" s="19">
        <f t="shared" si="1"/>
        <v>2610</v>
      </c>
      <c r="H9" s="19">
        <f t="shared" si="1"/>
        <v>1390</v>
      </c>
      <c r="I9" s="19">
        <f t="shared" si="1"/>
        <v>1780</v>
      </c>
      <c r="J9" s="20">
        <f t="shared" si="1"/>
        <v>2300</v>
      </c>
      <c r="K9" s="21">
        <f t="shared" si="0"/>
        <v>41.223021582733814</v>
      </c>
      <c r="L9" s="22">
        <f xml:space="preserve"> 180 * J9/SUM(D9:I9)</f>
        <v>39.316239316239319</v>
      </c>
      <c r="M9" s="23">
        <f>K9-L9</f>
        <v>1.9067822664944956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zzinnykko</dc:creator>
  <cp:lastModifiedBy>zzinnykko</cp:lastModifiedBy>
  <dcterms:created xsi:type="dcterms:W3CDTF">2026-10-02T23:46:51Z</dcterms:created>
  <dcterms:modified xsi:type="dcterms:W3CDTF">2026-10-03T01:08:54Z</dcterms:modified>
</cp:coreProperties>
</file>